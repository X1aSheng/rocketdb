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rocketdb\docs\"/>
    </mc:Choice>
  </mc:AlternateContent>
  <xr:revisionPtr revIDLastSave="0" documentId="13_ncr:1_{A15B3B8E-31BA-42A7-BF62-D5649ED1F61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lash_lifespan_calc" sheetId="2" r:id="rId1"/>
    <sheet name="Sheet1" sheetId="1" r:id="rId2"/>
  </sheets>
  <definedNames>
    <definedName name="ExternalData_1" localSheetId="0" hidden="1">flash_lifespan_calc!$A$1:$I$69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2" l="1"/>
  <c r="D31" i="2"/>
  <c r="D27" i="2"/>
  <c r="D19" i="2"/>
  <c r="D24" i="2" s="1"/>
  <c r="D26" i="2" s="1"/>
  <c r="D28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FD0534-DD43-4E1D-97C7-97E3D0C7045E}" keepAlive="1" name="查询 - flash_lifespan_calc" description="与工作簿中“flash_lifespan_calc”查询的连接。" type="5" refreshedVersion="8" background="1" saveData="1">
    <dbPr connection="Provider=Microsoft.Mashup.OleDb.1;Data Source=$Workbook$;Location=flash_lifespan_calc;Extended Properties=&quot;&quot;" command="SELECT * FROM [flash_lifespan_calc]"/>
  </connection>
</connections>
</file>

<file path=xl/sharedStrings.xml><?xml version="1.0" encoding="utf-8"?>
<sst xmlns="http://schemas.openxmlformats.org/spreadsheetml/2006/main" count="594" uniqueCount="221">
  <si>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</si>
  <si>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</si>
  <si>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</si>
  <si>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</si>
  <si>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</si>
  <si>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</si>
  <si>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</si>
  <si>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</si>
  <si>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</si>
  <si>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Section</t>
  </si>
  <si>
    <t>Parameter</t>
  </si>
  <si>
    <t>Symbol</t>
  </si>
  <si>
    <t>Value</t>
  </si>
  <si>
    <t>Unit</t>
  </si>
  <si>
    <t>Formula_doc</t>
  </si>
  <si>
    <t>Note</t>
  </si>
  <si>
    <t/>
  </si>
  <si>
    <t>=== INPUT PARAMETERS (edit values in column D) ===</t>
  </si>
  <si>
    <t>Flash</t>
  </si>
  <si>
    <t>Max P/E cycles</t>
  </si>
  <si>
    <t>PE_max</t>
  </si>
  <si>
    <t>100000</t>
  </si>
  <si>
    <t>cycles</t>
  </si>
  <si>
    <t>W25QXX typical 100k</t>
  </si>
  <si>
    <t>Sector count</t>
  </si>
  <si>
    <t>N_sec</t>
  </si>
  <si>
    <t>sectors</t>
  </si>
  <si>
    <t>Per partition config</t>
  </si>
  <si>
    <t>Sector size</t>
  </si>
  <si>
    <t>S_sec</t>
  </si>
  <si>
    <t>bytes</t>
  </si>
  <si>
    <t>Typical 4096</t>
  </si>
  <si>
    <t>Config</t>
  </si>
  <si>
    <t>Stack buffer size</t>
  </si>
  <si>
    <t>STACK_BUF</t>
  </si>
  <si>
    <t>64</t>
  </si>
  <si>
    <t>Configurable 64 128 256</t>
  </si>
  <si>
    <t>TSDB record header</t>
  </si>
  <si>
    <t>TS_REC_SZ</t>
  </si>
  <si>
    <t>Fixed</t>
  </si>
  <si>
    <t>KVDB record header</t>
  </si>
  <si>
    <t>KV_REC_SZ</t>
  </si>
  <si>
    <t>Load</t>
  </si>
  <si>
    <t>Daily logical writes</t>
  </si>
  <si>
    <t>W_day</t>
  </si>
  <si>
    <t>10000</t>
  </si>
  <si>
    <t>writes/day</t>
  </si>
  <si>
    <t>Application estimate</t>
  </si>
  <si>
    <t>KVDB small-record ratio</t>
  </si>
  <si>
    <t>P_small_kv</t>
  </si>
  <si>
    <t>0.99</t>
  </si>
  <si>
    <t>(0~1)</t>
  </si>
  <si>
    <t>Ratio of records &lt;= STACK_BUF</t>
  </si>
  <si>
    <t>TSDB small-record ratio</t>
  </si>
  <si>
    <t>P_small_ts</t>
  </si>
  <si>
    <t>Ratio of data &lt;= STACK_BUF-TS_REC_SZ</t>
  </si>
  <si>
    <t>KVDB avg value size</t>
  </si>
  <si>
    <t>V_avg_kv</t>
  </si>
  <si>
    <t>Measured or estimated</t>
  </si>
  <si>
    <t>TSDB avg data size</t>
  </si>
  <si>
    <t>D_avg_ts</t>
  </si>
  <si>
    <t>KVDB avg key length</t>
  </si>
  <si>
    <t>K_avg</t>
  </si>
  <si>
    <t>GC amplification factor</t>
  </si>
  <si>
    <t>GC_amp</t>
  </si>
  <si>
    <t>0.15</t>
  </si>
  <si>
    <t>Typical 0.05 to 0.30</t>
  </si>
  <si>
    <t>=== KVDB WAF CALCULATOR ===</t>
  </si>
  <si>
    <t>KVDB</t>
  </si>
  <si>
    <t>Small-record writes (merge+commit)</t>
  </si>
  <si>
    <t>KV_w_small</t>
  </si>
  <si>
    <t>writes/rec</t>
  </si>
  <si>
    <t>1 merge + 1 commit</t>
  </si>
  <si>
    <t>Large: header write</t>
  </si>
  <si>
    <t>Large: key write</t>
  </si>
  <si>
    <t>Large: value chunks</t>
  </si>
  <si>
    <t>chunks</t>
  </si>
  <si>
    <t>CEIL(V_avg_kv/STACK_BUF)</t>
  </si>
  <si>
    <t>Large: commit write</t>
  </si>
  <si>
    <t>Large total (sum of 4 rows above)</t>
  </si>
  <si>
    <t>KV_w_large</t>
  </si>
  <si>
    <t>=header+key+chunks+commit</t>
  </si>
  <si>
    <t>Base WAF (excl. GC)</t>
  </si>
  <si>
    <t>WAF_base</t>
  </si>
  <si>
    <t>x</t>
  </si>
  <si>
    <t>P_small*2 + P_large*large_total</t>
  </si>
  <si>
    <t>Final WAF (incl. GC)</t>
  </si>
  <si>
    <t>WAF_kv</t>
  </si>
  <si>
    <t>WAF_base * (1+GC_amp)</t>
  </si>
  <si>
    <t>WAF without merge optimization</t>
  </si>
  <si>
    <t>WAF_kv_unopt</t>
  </si>
  <si>
    <t>Small records: 4 writes instead of 2</t>
  </si>
  <si>
    <t>Merge improvement ratio</t>
  </si>
  <si>
    <t>ratio_kv</t>
  </si>
  <si>
    <t>&gt;1 means merge optimization helps</t>
  </si>
  <si>
    <t>=== TSDB WAF CALCULATOR ===</t>
  </si>
  <si>
    <t>TSDB</t>
  </si>
  <si>
    <t>TS_w_small</t>
  </si>
  <si>
    <t>Large: data chunks</t>
  </si>
  <si>
    <t>CEIL(D_avg_ts/(STACK_BUF-TS_REC_SZ))</t>
  </si>
  <si>
    <t>Large total (sum of 3 rows above)</t>
  </si>
  <si>
    <t>TS_w_large</t>
  </si>
  <si>
    <t>=D31+D32+D33</t>
  </si>
  <si>
    <t>=header+chunks+commit</t>
  </si>
  <si>
    <t>Base WAF</t>
  </si>
  <si>
    <t>TS_WAF_base</t>
  </si>
  <si>
    <t>=D11*D30+(1-D11)*D34</t>
  </si>
  <si>
    <t>Final WAF</t>
  </si>
  <si>
    <t>WAF_ts</t>
  </si>
  <si>
    <t>=D35</t>
  </si>
  <si>
    <t>TSDB has no GC migration</t>
  </si>
  <si>
    <t>WAF_ts_unopt</t>
  </si>
  <si>
    <t>=D11*3+(1-D11)*D34</t>
  </si>
  <si>
    <t>Small records: 3 writes instead of 2</t>
  </si>
  <si>
    <t>ratio_ts</t>
  </si>
  <si>
    <t>=D37/D36</t>
  </si>
  <si>
    <t>=== LIFESPAN RESULTS (watch these rows) ===</t>
  </si>
  <si>
    <t>Life</t>
  </si>
  <si>
    <t>KVDB lifespan (days)</t>
  </si>
  <si>
    <t>T_kv_day</t>
  </si>
  <si>
    <t>=D3*D4*D5/(D9*D25*(D8+D12+D14))</t>
  </si>
  <si>
    <t>days</t>
  </si>
  <si>
    <t>PE*Nsec*Ssec/(Wday*WAF*(HDR+KEY+VAL))</t>
  </si>
  <si>
    <t>&gt;&gt; KVDB LIFESPAN (years)</t>
  </si>
  <si>
    <t>T_kv_year</t>
  </si>
  <si>
    <t>=D41/365</t>
  </si>
  <si>
    <t>years</t>
  </si>
  <si>
    <t>FINAL KVDB RESULT</t>
  </si>
  <si>
    <t>KVDB lifespan w/o merge (years)</t>
  </si>
  <si>
    <t>T_kv_unopt</t>
  </si>
  <si>
    <t>=D3*D4*D5/(D9*D26*(D8+D12+D14))/365</t>
  </si>
  <si>
    <t>&gt;&gt; KVDB MERGE GAIN (years)</t>
  </si>
  <si>
    <t>T_kv_gain</t>
  </si>
  <si>
    <t>=D42-D43</t>
  </si>
  <si>
    <t>How many years merge optimization adds</t>
  </si>
  <si>
    <t>TSDB lifespan (days)</t>
  </si>
  <si>
    <t>T_ts_day</t>
  </si>
  <si>
    <t>=D3*D4*D5/(D9*D36*(D7+D13))</t>
  </si>
  <si>
    <t>PE*Nsec*Ssec/(Wday*WAF*(HDR+DATA))</t>
  </si>
  <si>
    <t>&gt;&gt; TSDB LIFESPAN (years)</t>
  </si>
  <si>
    <t>T_ts_year</t>
  </si>
  <si>
    <t>=D45/365</t>
  </si>
  <si>
    <t>FINAL TSDB RESULT</t>
  </si>
  <si>
    <t>TSDB lifespan w/o merge (years)</t>
  </si>
  <si>
    <t>T_ts_unopt</t>
  </si>
  <si>
    <t>=D3*D4*D5/(D9*D37*(D7+D13))/365</t>
  </si>
  <si>
    <t>&gt;&gt; TSDB MERGE GAIN (years)</t>
  </si>
  <si>
    <t>T_ts_gain</t>
  </si>
  <si>
    <t>=D46-D47</t>
  </si>
  <si>
    <t>=== MEASURED TEST DATA (from test/out/*.log) ===</t>
  </si>
  <si>
    <t>Test</t>
  </si>
  <si>
    <t>kvdb_basic</t>
  </si>
  <si>
    <t>2648</t>
  </si>
  <si>
    <t>8126</t>
  </si>
  <si>
    <t>3.07</t>
  </si>
  <si>
    <t>WAF</t>
  </si>
  <si>
    <t>99% merge hit avg_val=11B +30% life</t>
  </si>
  <si>
    <t>kvdb_stress</t>
  </si>
  <si>
    <t>4184</t>
  </si>
  <si>
    <t>23267</t>
  </si>
  <si>
    <t>5.56</t>
  </si>
  <si>
    <t>65% merge hit avg_val=131B +22% life</t>
  </si>
  <si>
    <t>tsdb_basic</t>
  </si>
  <si>
    <t>2402</t>
  </si>
  <si>
    <t>6780</t>
  </si>
  <si>
    <t>2.82</t>
  </si>
  <si>
    <t>29% merge hit avg_data=56B +17% life</t>
  </si>
  <si>
    <t>tsdb_stress</t>
  </si>
  <si>
    <t>2719</t>
  </si>
  <si>
    <t>18256</t>
  </si>
  <si>
    <t>6.71</t>
  </si>
  <si>
    <t>21% merge hit avg_data=260B +16% life</t>
  </si>
  <si>
    <t>integration</t>
  </si>
  <si>
    <t>18731</t>
  </si>
  <si>
    <t>87150</t>
  </si>
  <si>
    <t>4.65</t>
  </si>
  <si>
    <t>KV89% TS21% merge hit +20% life</t>
  </si>
  <si>
    <t>=== SCENARIO PROJECTIONS (pre-computed) ===</t>
  </si>
  <si>
    <t>Scene</t>
  </si>
  <si>
    <t>Sensor (best case)</t>
  </si>
  <si>
    <t>38</t>
  </si>
  <si>
    <t>W_day=10000 WAF=3.07 R_avg=38B</t>
  </si>
  <si>
    <t>99% merge small data high freq</t>
  </si>
  <si>
    <t>Mixed IoT (typical)</t>
  </si>
  <si>
    <t>147</t>
  </si>
  <si>
    <t>W_day=10000 WAF=5.56 R_avg=147B</t>
  </si>
  <si>
    <t>65% merge realistic mixed load</t>
  </si>
  <si>
    <t>Logging (large data)</t>
  </si>
  <si>
    <t>1000</t>
  </si>
  <si>
    <t>280</t>
  </si>
  <si>
    <t>W_day=1000 WAF=6.71 R_avg=280B</t>
  </si>
  <si>
    <t>21% merge large data low freq</t>
  </si>
  <si>
    <t>Config store (rare writes)</t>
  </si>
  <si>
    <t>100</t>
  </si>
  <si>
    <t>W_day=100 WAF=3.07 R_avg=38B</t>
  </si>
  <si>
    <t>99% merge very low freq</t>
  </si>
  <si>
    <t>=== SENSITIVITY ANALYSIS ===</t>
  </si>
  <si>
    <t>Sens</t>
  </si>
  <si>
    <t>STACK_BUF 64-&gt;128</t>
  </si>
  <si>
    <t>128</t>
  </si>
  <si>
    <t>merge-hit-rate up</t>
  </si>
  <si>
    <t>lifespan up</t>
  </si>
  <si>
    <t>Double buffer = more records merged</t>
  </si>
  <si>
    <t>P_small_kv 0.99-&gt;0.50</t>
  </si>
  <si>
    <t>0.5</t>
  </si>
  <si>
    <t>WAF up</t>
  </si>
  <si>
    <t>lifespan -40%</t>
  </si>
  <si>
    <t>Each -10% hit rate = -5% lifespan</t>
  </si>
  <si>
    <t>W_day x2</t>
  </si>
  <si>
    <t>20000</t>
  </si>
  <si>
    <t>WAF unchanged</t>
  </si>
  <si>
    <t>lifespan /2</t>
  </si>
  <si>
    <t>Write freq inversely proportional</t>
  </si>
  <si>
    <t>GC_amp 0.15-&gt;0.30</t>
  </si>
  <si>
    <t>0.3</t>
  </si>
  <si>
    <t>WAF +15%</t>
  </si>
  <si>
    <t>lifespan -13%</t>
  </si>
  <si>
    <t>Each +0.1 GC amp = -10% lifespan</t>
  </si>
  <si>
    <t>PE_max 100K-&gt;50K</t>
  </si>
  <si>
    <t>50000</t>
  </si>
  <si>
    <t>PE cycles directly proportional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</si>
</sst>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C1D55B-9372-4913-8280-D16EF4BA8BBD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9283B8-CDF3-41DB-99D1-F6CB98DD0D2B}" name="flash_lifespan_calc" displayName="flash_lifespan_calc" ref="A1:I69" tableType="queryTable" totalsRowShown="0">
  <autoFilter ref="A1:I69" xr:uid="{FE9283B8-CDF3-41DB-99D1-F6CB98DD0D2B}"/>
  <tableColumns count="9">
    <tableColumn id="1" xr3:uid="{B596163B-F5A3-4667-83E7-16E1D4253273}" uniqueName="1" name="Column1" queryTableFieldId="1" dataDxfId="8"/>
    <tableColumn id="2" xr3:uid="{6FF14554-2F0B-40FD-9223-615D31FBFA36}" uniqueName="2" name="Column2" queryTableFieldId="2" dataDxfId="7"/>
    <tableColumn id="3" xr3:uid="{CE87EE8F-D0AB-4C7B-B2B8-F02359797823}" uniqueName="3" name="Column3" queryTableFieldId="3" dataDxfId="6"/>
    <tableColumn id="4" xr3:uid="{5D9B087C-875C-4D3B-BA59-20E97BE98349}" uniqueName="4" name="Column4" queryTableFieldId="4" dataDxfId="5"/>
    <tableColumn id="5" xr3:uid="{73D11B0C-71E3-4457-9B3D-B822D73FE516}" uniqueName="5" name="Column5" queryTableFieldId="5" dataDxfId="4"/>
    <tableColumn id="6" xr3:uid="{F0DA0F15-AC8A-4295-A519-7F6425C49E2A}" uniqueName="6" name="Column6" queryTableFieldId="6" dataDxfId="3"/>
    <tableColumn id="7" xr3:uid="{B5C685F2-B23A-4A8D-82D5-C79164782DC9}" uniqueName="7" name="Column7" queryTableFieldId="7" dataDxfId="2"/>
    <tableColumn id="8" xr3:uid="{0B937C77-7073-4713-BEAD-EAF8F5B2FA64}" uniqueName="8" name="Column8" queryTableFieldId="8" dataDxfId="1"/>
    <tableColumn id="9" xr3:uid="{F1CEB62E-5176-4981-B17B-670D7FE2E6D9}" uniqueName="9" name="Column9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05DA8-E4C1-4C10-AE6D-9041EC900012}">
  <dimension ref="A1:I69"/>
  <sheetViews>
    <sheetView tabSelected="1" topLeftCell="A22" workbookViewId="0">
      <selection activeCell="D25" sqref="D25"/>
    </sheetView>
  </sheetViews>
  <sheetFormatPr defaultRowHeight="14" x14ac:dyDescent="0.3"/>
  <cols>
    <col min="1" max="1" width="10.75" bestFit="1" customWidth="1"/>
    <col min="2" max="2" width="48.4140625" bestFit="1" customWidth="1"/>
    <col min="3" max="3" width="13" bestFit="1" customWidth="1"/>
    <col min="4" max="4" width="37.08203125" bestFit="1" customWidth="1"/>
    <col min="5" max="5" width="16.08203125" bestFit="1" customWidth="1"/>
    <col min="6" max="6" width="33.5" bestFit="1" customWidth="1"/>
    <col min="7" max="7" width="38.1640625" bestFit="1" customWidth="1"/>
    <col min="8" max="9" width="10.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16</v>
      </c>
    </row>
    <row r="3" spans="1:9" x14ac:dyDescent="0.3">
      <c r="A3" s="1" t="s">
        <v>16</v>
      </c>
      <c r="B3" s="1" t="s">
        <v>17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</row>
    <row r="4" spans="1:9" x14ac:dyDescent="0.3">
      <c r="A4" s="1" t="s">
        <v>18</v>
      </c>
      <c r="B4" s="1" t="s">
        <v>19</v>
      </c>
      <c r="C4" s="1" t="s">
        <v>20</v>
      </c>
      <c r="D4" s="1">
        <v>100000</v>
      </c>
      <c r="E4" s="1" t="s">
        <v>22</v>
      </c>
      <c r="F4" s="1" t="s">
        <v>16</v>
      </c>
      <c r="G4" s="1" t="s">
        <v>23</v>
      </c>
      <c r="H4" s="1" t="s">
        <v>16</v>
      </c>
      <c r="I4" s="1" t="s">
        <v>16</v>
      </c>
    </row>
    <row r="5" spans="1:9" x14ac:dyDescent="0.3">
      <c r="A5" s="1" t="s">
        <v>18</v>
      </c>
      <c r="B5" s="1" t="s">
        <v>24</v>
      </c>
      <c r="C5" s="1" t="s">
        <v>25</v>
      </c>
      <c r="D5" s="1">
        <v>16</v>
      </c>
      <c r="E5" s="1" t="s">
        <v>26</v>
      </c>
      <c r="F5" s="1" t="s">
        <v>16</v>
      </c>
      <c r="G5" s="1" t="s">
        <v>27</v>
      </c>
      <c r="H5" s="1" t="s">
        <v>16</v>
      </c>
      <c r="I5" s="1" t="s">
        <v>16</v>
      </c>
    </row>
    <row r="6" spans="1:9" x14ac:dyDescent="0.3">
      <c r="A6" s="1" t="s">
        <v>18</v>
      </c>
      <c r="B6" s="1" t="s">
        <v>28</v>
      </c>
      <c r="C6" s="1" t="s">
        <v>29</v>
      </c>
      <c r="D6" s="1">
        <v>4096</v>
      </c>
      <c r="E6" s="1" t="s">
        <v>30</v>
      </c>
      <c r="F6" s="1" t="s">
        <v>16</v>
      </c>
      <c r="G6" s="1" t="s">
        <v>31</v>
      </c>
      <c r="H6" s="1" t="s">
        <v>16</v>
      </c>
      <c r="I6" s="1" t="s">
        <v>16</v>
      </c>
    </row>
    <row r="7" spans="1:9" x14ac:dyDescent="0.3">
      <c r="A7" s="1" t="s">
        <v>32</v>
      </c>
      <c r="B7" s="1" t="s">
        <v>33</v>
      </c>
      <c r="C7" s="1" t="s">
        <v>34</v>
      </c>
      <c r="D7" s="1">
        <v>64</v>
      </c>
      <c r="E7" s="1" t="s">
        <v>30</v>
      </c>
      <c r="F7" s="1" t="s">
        <v>16</v>
      </c>
      <c r="G7" s="1" t="s">
        <v>36</v>
      </c>
      <c r="H7" s="1" t="s">
        <v>16</v>
      </c>
      <c r="I7" s="1" t="s">
        <v>16</v>
      </c>
    </row>
    <row r="8" spans="1:9" x14ac:dyDescent="0.3">
      <c r="A8" s="1" t="s">
        <v>32</v>
      </c>
      <c r="B8" s="1" t="s">
        <v>37</v>
      </c>
      <c r="C8" s="1" t="s">
        <v>38</v>
      </c>
      <c r="D8" s="1">
        <v>20</v>
      </c>
      <c r="E8" s="1" t="s">
        <v>30</v>
      </c>
      <c r="F8" s="1" t="s">
        <v>16</v>
      </c>
      <c r="G8" s="1" t="s">
        <v>39</v>
      </c>
      <c r="H8" s="1" t="s">
        <v>16</v>
      </c>
      <c r="I8" s="1" t="s">
        <v>16</v>
      </c>
    </row>
    <row r="9" spans="1:9" x14ac:dyDescent="0.3">
      <c r="A9" s="1" t="s">
        <v>32</v>
      </c>
      <c r="B9" s="1" t="s">
        <v>40</v>
      </c>
      <c r="C9" s="1" t="s">
        <v>41</v>
      </c>
      <c r="D9" s="1">
        <v>16</v>
      </c>
      <c r="E9" s="1" t="s">
        <v>30</v>
      </c>
      <c r="F9" s="1" t="s">
        <v>16</v>
      </c>
      <c r="G9" s="1" t="s">
        <v>39</v>
      </c>
      <c r="H9" s="1" t="s">
        <v>16</v>
      </c>
      <c r="I9" s="1" t="s">
        <v>16</v>
      </c>
    </row>
    <row r="10" spans="1:9" x14ac:dyDescent="0.3">
      <c r="A10" s="1" t="s">
        <v>42</v>
      </c>
      <c r="B10" s="1" t="s">
        <v>43</v>
      </c>
      <c r="C10" s="1" t="s">
        <v>44</v>
      </c>
      <c r="D10" s="1">
        <v>10000</v>
      </c>
      <c r="E10" s="1" t="s">
        <v>46</v>
      </c>
      <c r="F10" s="1" t="s">
        <v>16</v>
      </c>
      <c r="G10" s="1" t="s">
        <v>47</v>
      </c>
      <c r="H10" s="1" t="s">
        <v>16</v>
      </c>
      <c r="I10" s="1" t="s">
        <v>16</v>
      </c>
    </row>
    <row r="11" spans="1:9" x14ac:dyDescent="0.3">
      <c r="A11" s="1" t="s">
        <v>42</v>
      </c>
      <c r="B11" s="1" t="s">
        <v>48</v>
      </c>
      <c r="C11" s="1" t="s">
        <v>49</v>
      </c>
      <c r="D11" s="1">
        <v>0.99</v>
      </c>
      <c r="E11" s="1" t="s">
        <v>51</v>
      </c>
      <c r="F11" s="1" t="s">
        <v>16</v>
      </c>
      <c r="G11" s="1" t="s">
        <v>52</v>
      </c>
      <c r="H11" s="1" t="s">
        <v>16</v>
      </c>
      <c r="I11" s="1" t="s">
        <v>16</v>
      </c>
    </row>
    <row r="12" spans="1:9" x14ac:dyDescent="0.3">
      <c r="A12" s="1" t="s">
        <v>42</v>
      </c>
      <c r="B12" s="1" t="s">
        <v>53</v>
      </c>
      <c r="C12" s="1" t="s">
        <v>54</v>
      </c>
      <c r="D12" s="1">
        <v>0.28999999999999998</v>
      </c>
      <c r="E12" s="1" t="s">
        <v>51</v>
      </c>
      <c r="F12" s="1" t="s">
        <v>16</v>
      </c>
      <c r="G12" s="1" t="s">
        <v>55</v>
      </c>
      <c r="H12" s="1" t="s">
        <v>16</v>
      </c>
      <c r="I12" s="1" t="s">
        <v>16</v>
      </c>
    </row>
    <row r="13" spans="1:9" x14ac:dyDescent="0.3">
      <c r="A13" s="1" t="s">
        <v>42</v>
      </c>
      <c r="B13" s="1" t="s">
        <v>56</v>
      </c>
      <c r="C13" s="1" t="s">
        <v>57</v>
      </c>
      <c r="D13" s="1">
        <v>11</v>
      </c>
      <c r="E13" s="1" t="s">
        <v>30</v>
      </c>
      <c r="F13" s="1" t="s">
        <v>16</v>
      </c>
      <c r="G13" s="1" t="s">
        <v>58</v>
      </c>
      <c r="H13" s="1" t="s">
        <v>16</v>
      </c>
      <c r="I13" s="1" t="s">
        <v>16</v>
      </c>
    </row>
    <row r="14" spans="1:9" x14ac:dyDescent="0.3">
      <c r="A14" s="1" t="s">
        <v>42</v>
      </c>
      <c r="B14" s="1" t="s">
        <v>59</v>
      </c>
      <c r="C14" s="1" t="s">
        <v>60</v>
      </c>
      <c r="D14" s="1">
        <v>56</v>
      </c>
      <c r="E14" s="1" t="s">
        <v>30</v>
      </c>
      <c r="F14" s="1" t="s">
        <v>16</v>
      </c>
      <c r="G14" s="1" t="s">
        <v>58</v>
      </c>
      <c r="H14" s="1" t="s">
        <v>16</v>
      </c>
      <c r="I14" s="1" t="s">
        <v>16</v>
      </c>
    </row>
    <row r="15" spans="1:9" x14ac:dyDescent="0.3">
      <c r="A15" s="1" t="s">
        <v>42</v>
      </c>
      <c r="B15" s="1" t="s">
        <v>61</v>
      </c>
      <c r="C15" s="1" t="s">
        <v>62</v>
      </c>
      <c r="D15" s="1">
        <v>6</v>
      </c>
      <c r="E15" s="1" t="s">
        <v>30</v>
      </c>
      <c r="F15" s="1" t="s">
        <v>16</v>
      </c>
      <c r="G15" s="1" t="s">
        <v>58</v>
      </c>
      <c r="H15" s="1" t="s">
        <v>16</v>
      </c>
      <c r="I15" s="1" t="s">
        <v>16</v>
      </c>
    </row>
    <row r="16" spans="1:9" x14ac:dyDescent="0.3">
      <c r="A16" s="1" t="s">
        <v>42</v>
      </c>
      <c r="B16" s="1" t="s">
        <v>63</v>
      </c>
      <c r="C16" s="1" t="s">
        <v>64</v>
      </c>
      <c r="D16" s="1">
        <v>0.15</v>
      </c>
      <c r="E16" s="1" t="s">
        <v>51</v>
      </c>
      <c r="F16" s="1" t="s">
        <v>16</v>
      </c>
      <c r="G16" s="1" t="s">
        <v>66</v>
      </c>
      <c r="H16" s="1" t="s">
        <v>16</v>
      </c>
      <c r="I16" s="1" t="s">
        <v>16</v>
      </c>
    </row>
    <row r="17" spans="1:9" x14ac:dyDescent="0.3">
      <c r="A17" s="1" t="s">
        <v>16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</row>
    <row r="18" spans="1:9" x14ac:dyDescent="0.3">
      <c r="A18" s="1" t="s">
        <v>16</v>
      </c>
      <c r="B18" s="1" t="s">
        <v>67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</row>
    <row r="19" spans="1:9" x14ac:dyDescent="0.3">
      <c r="A19" s="1" t="s">
        <v>68</v>
      </c>
      <c r="B19" s="1" t="s">
        <v>69</v>
      </c>
      <c r="C19" s="1" t="s">
        <v>70</v>
      </c>
      <c r="D19" s="1">
        <f>1+1</f>
        <v>2</v>
      </c>
      <c r="E19" s="1" t="s">
        <v>71</v>
      </c>
      <c r="F19" s="1" t="s">
        <v>16</v>
      </c>
      <c r="G19" s="1" t="s">
        <v>72</v>
      </c>
      <c r="H19" s="1" t="s">
        <v>16</v>
      </c>
      <c r="I19" s="1" t="s">
        <v>16</v>
      </c>
    </row>
    <row r="20" spans="1:9" x14ac:dyDescent="0.3">
      <c r="A20" s="1" t="s">
        <v>68</v>
      </c>
      <c r="B20" s="1" t="s">
        <v>73</v>
      </c>
      <c r="C20" s="1" t="s">
        <v>16</v>
      </c>
      <c r="D20" s="1">
        <v>1</v>
      </c>
      <c r="E20" s="1" t="s">
        <v>71</v>
      </c>
      <c r="F20" s="1" t="s">
        <v>16</v>
      </c>
      <c r="G20" s="1" t="s">
        <v>16</v>
      </c>
      <c r="H20" s="1" t="s">
        <v>16</v>
      </c>
      <c r="I20" s="1" t="s">
        <v>16</v>
      </c>
    </row>
    <row r="21" spans="1:9" x14ac:dyDescent="0.3">
      <c r="A21" s="1" t="s">
        <v>68</v>
      </c>
      <c r="B21" s="1" t="s">
        <v>74</v>
      </c>
      <c r="C21" s="1" t="s">
        <v>16</v>
      </c>
      <c r="D21" s="1">
        <v>1</v>
      </c>
      <c r="E21" s="1" t="s">
        <v>71</v>
      </c>
      <c r="F21" s="1" t="s">
        <v>16</v>
      </c>
      <c r="G21" s="1" t="s">
        <v>16</v>
      </c>
      <c r="H21" s="1" t="s">
        <v>16</v>
      </c>
      <c r="I21" s="1" t="s">
        <v>16</v>
      </c>
    </row>
    <row r="22" spans="1:9" x14ac:dyDescent="0.3">
      <c r="A22" s="1" t="s">
        <v>68</v>
      </c>
      <c r="B22" s="1" t="s">
        <v>75</v>
      </c>
      <c r="C22" s="1" t="s">
        <v>76</v>
      </c>
      <c r="D22" s="1">
        <v>1</v>
      </c>
      <c r="E22" s="1" t="s">
        <v>76</v>
      </c>
      <c r="F22" s="1" t="s">
        <v>16</v>
      </c>
      <c r="G22" s="1" t="s">
        <v>77</v>
      </c>
      <c r="H22" s="1" t="s">
        <v>16</v>
      </c>
      <c r="I22" s="1" t="s">
        <v>16</v>
      </c>
    </row>
    <row r="23" spans="1:9" x14ac:dyDescent="0.3">
      <c r="A23" s="1" t="s">
        <v>68</v>
      </c>
      <c r="B23" s="1" t="s">
        <v>78</v>
      </c>
      <c r="C23" s="1" t="s">
        <v>16</v>
      </c>
      <c r="D23" s="1">
        <v>1</v>
      </c>
      <c r="E23" s="1" t="s">
        <v>71</v>
      </c>
      <c r="F23" s="1" t="s">
        <v>16</v>
      </c>
      <c r="G23" s="1" t="s">
        <v>16</v>
      </c>
      <c r="H23" s="1" t="s">
        <v>16</v>
      </c>
      <c r="I23" s="1" t="s">
        <v>16</v>
      </c>
    </row>
    <row r="24" spans="1:9" x14ac:dyDescent="0.3">
      <c r="A24" s="1" t="s">
        <v>68</v>
      </c>
      <c r="B24" s="1" t="s">
        <v>79</v>
      </c>
      <c r="C24" s="1" t="s">
        <v>80</v>
      </c>
      <c r="D24" s="1">
        <f>D19+D20+D21+D22</f>
        <v>5</v>
      </c>
      <c r="E24" s="1" t="s">
        <v>71</v>
      </c>
      <c r="F24" s="1" t="s">
        <v>16</v>
      </c>
      <c r="G24" s="1" t="s">
        <v>81</v>
      </c>
      <c r="H24" s="1" t="s">
        <v>16</v>
      </c>
      <c r="I24" s="1" t="s">
        <v>16</v>
      </c>
    </row>
    <row r="25" spans="1:9" x14ac:dyDescent="0.3">
      <c r="A25" s="1" t="s">
        <v>68</v>
      </c>
      <c r="B25" s="1" t="s">
        <v>82</v>
      </c>
      <c r="C25" s="1" t="s">
        <v>83</v>
      </c>
      <c r="D25" s="1" t="e">
        <f>D10*D18+(1-D10)*D23</f>
        <v>#VALUE!</v>
      </c>
      <c r="E25" s="1" t="s">
        <v>84</v>
      </c>
      <c r="F25" s="1" t="s">
        <v>16</v>
      </c>
      <c r="G25" s="1" t="s">
        <v>85</v>
      </c>
      <c r="H25" s="1" t="s">
        <v>16</v>
      </c>
      <c r="I25" s="1" t="s">
        <v>16</v>
      </c>
    </row>
    <row r="26" spans="1:9" x14ac:dyDescent="0.3">
      <c r="A26" s="1" t="s">
        <v>68</v>
      </c>
      <c r="B26" s="1" t="s">
        <v>86</v>
      </c>
      <c r="C26" s="1" t="s">
        <v>87</v>
      </c>
      <c r="D26" s="1">
        <f>D24*(1+D15)</f>
        <v>35</v>
      </c>
      <c r="E26" s="1" t="s">
        <v>84</v>
      </c>
      <c r="F26" s="1" t="s">
        <v>16</v>
      </c>
      <c r="G26" s="1" t="s">
        <v>88</v>
      </c>
      <c r="H26" s="1" t="s">
        <v>16</v>
      </c>
      <c r="I26" s="1" t="s">
        <v>16</v>
      </c>
    </row>
    <row r="27" spans="1:9" x14ac:dyDescent="0.3">
      <c r="A27" s="1" t="s">
        <v>68</v>
      </c>
      <c r="B27" s="1" t="s">
        <v>89</v>
      </c>
      <c r="C27" s="1" t="s">
        <v>90</v>
      </c>
      <c r="D27" s="1">
        <f>D10*4+(1-D10)*D23</f>
        <v>30001</v>
      </c>
      <c r="E27" s="1" t="s">
        <v>84</v>
      </c>
      <c r="F27" s="1" t="s">
        <v>16</v>
      </c>
      <c r="G27" s="1" t="s">
        <v>91</v>
      </c>
      <c r="H27" s="1" t="s">
        <v>16</v>
      </c>
      <c r="I27" s="1" t="s">
        <v>16</v>
      </c>
    </row>
    <row r="28" spans="1:9" x14ac:dyDescent="0.3">
      <c r="A28" s="1" t="s">
        <v>68</v>
      </c>
      <c r="B28" s="1" t="s">
        <v>92</v>
      </c>
      <c r="C28" s="1" t="s">
        <v>93</v>
      </c>
      <c r="D28" s="1" t="e">
        <f>D26/D25</f>
        <v>#VALUE!</v>
      </c>
      <c r="E28" s="1" t="s">
        <v>84</v>
      </c>
      <c r="F28" s="1" t="s">
        <v>16</v>
      </c>
      <c r="G28" s="1" t="s">
        <v>94</v>
      </c>
      <c r="H28" s="1" t="s">
        <v>16</v>
      </c>
      <c r="I28" s="1" t="s">
        <v>16</v>
      </c>
    </row>
    <row r="29" spans="1:9" x14ac:dyDescent="0.3">
      <c r="A29" s="1" t="s">
        <v>16</v>
      </c>
      <c r="B29" s="1" t="s">
        <v>16</v>
      </c>
      <c r="C29" s="1" t="s">
        <v>16</v>
      </c>
      <c r="D29" s="1" t="s">
        <v>16</v>
      </c>
      <c r="E29" s="1" t="s">
        <v>16</v>
      </c>
      <c r="F29" s="1" t="s">
        <v>16</v>
      </c>
      <c r="G29" s="1" t="s">
        <v>16</v>
      </c>
      <c r="H29" s="1" t="s">
        <v>16</v>
      </c>
      <c r="I29" s="1" t="s">
        <v>16</v>
      </c>
    </row>
    <row r="30" spans="1:9" x14ac:dyDescent="0.3">
      <c r="A30" s="1" t="s">
        <v>16</v>
      </c>
      <c r="B30" s="1" t="s">
        <v>95</v>
      </c>
      <c r="C30" s="1" t="s">
        <v>16</v>
      </c>
      <c r="D30" s="1" t="s">
        <v>16</v>
      </c>
      <c r="E30" s="1" t="s">
        <v>16</v>
      </c>
      <c r="F30" s="1" t="s">
        <v>16</v>
      </c>
      <c r="G30" s="1" t="s">
        <v>16</v>
      </c>
      <c r="H30" s="1" t="s">
        <v>16</v>
      </c>
      <c r="I30" s="1" t="s">
        <v>16</v>
      </c>
    </row>
    <row r="31" spans="1:9" x14ac:dyDescent="0.3">
      <c r="A31" s="1" t="s">
        <v>96</v>
      </c>
      <c r="B31" s="1" t="s">
        <v>69</v>
      </c>
      <c r="C31" s="1" t="s">
        <v>97</v>
      </c>
      <c r="D31" s="1">
        <f>1+1</f>
        <v>2</v>
      </c>
      <c r="E31" s="1" t="s">
        <v>71</v>
      </c>
      <c r="F31" s="1" t="s">
        <v>16</v>
      </c>
      <c r="G31" s="1" t="s">
        <v>72</v>
      </c>
      <c r="H31" s="1" t="s">
        <v>16</v>
      </c>
      <c r="I31" s="1" t="s">
        <v>16</v>
      </c>
    </row>
    <row r="32" spans="1:9" x14ac:dyDescent="0.3">
      <c r="A32" s="1" t="s">
        <v>96</v>
      </c>
      <c r="B32" s="1" t="s">
        <v>73</v>
      </c>
      <c r="C32" s="1" t="s">
        <v>16</v>
      </c>
      <c r="D32" s="1">
        <v>1</v>
      </c>
      <c r="E32" s="1" t="s">
        <v>71</v>
      </c>
      <c r="F32" s="1" t="s">
        <v>16</v>
      </c>
      <c r="G32" s="1" t="s">
        <v>16</v>
      </c>
      <c r="H32" s="1" t="s">
        <v>16</v>
      </c>
      <c r="I32" s="1" t="s">
        <v>16</v>
      </c>
    </row>
    <row r="33" spans="1:9" x14ac:dyDescent="0.3">
      <c r="A33" s="1" t="s">
        <v>96</v>
      </c>
      <c r="B33" s="1" t="s">
        <v>98</v>
      </c>
      <c r="C33" s="1" t="s">
        <v>76</v>
      </c>
      <c r="D33" s="1">
        <v>2</v>
      </c>
      <c r="E33" s="1" t="s">
        <v>76</v>
      </c>
      <c r="F33" s="1" t="s">
        <v>16</v>
      </c>
      <c r="G33" s="1" t="s">
        <v>99</v>
      </c>
      <c r="H33" s="1" t="s">
        <v>16</v>
      </c>
      <c r="I33" s="1" t="s">
        <v>16</v>
      </c>
    </row>
    <row r="34" spans="1:9" x14ac:dyDescent="0.3">
      <c r="A34" s="1" t="s">
        <v>96</v>
      </c>
      <c r="B34" s="1" t="s">
        <v>78</v>
      </c>
      <c r="C34" s="1" t="s">
        <v>16</v>
      </c>
      <c r="D34" s="1">
        <v>1</v>
      </c>
      <c r="E34" s="1" t="s">
        <v>71</v>
      </c>
      <c r="F34" s="1" t="s">
        <v>16</v>
      </c>
      <c r="G34" s="1" t="s">
        <v>16</v>
      </c>
      <c r="H34" s="1" t="s">
        <v>16</v>
      </c>
      <c r="I34" s="1" t="s">
        <v>16</v>
      </c>
    </row>
    <row r="35" spans="1:9" x14ac:dyDescent="0.3">
      <c r="A35" s="1" t="s">
        <v>96</v>
      </c>
      <c r="B35" s="1" t="s">
        <v>100</v>
      </c>
      <c r="C35" s="1" t="s">
        <v>101</v>
      </c>
      <c r="D35" s="1" t="s">
        <v>102</v>
      </c>
      <c r="E35" s="1" t="s">
        <v>71</v>
      </c>
      <c r="F35" s="1" t="s">
        <v>16</v>
      </c>
      <c r="G35" s="1" t="s">
        <v>103</v>
      </c>
      <c r="H35" s="1" t="s">
        <v>16</v>
      </c>
      <c r="I35" s="1" t="s">
        <v>16</v>
      </c>
    </row>
    <row r="36" spans="1:9" x14ac:dyDescent="0.3">
      <c r="A36" s="1" t="s">
        <v>96</v>
      </c>
      <c r="B36" s="1" t="s">
        <v>104</v>
      </c>
      <c r="C36" s="1" t="s">
        <v>105</v>
      </c>
      <c r="D36" s="1" t="s">
        <v>106</v>
      </c>
      <c r="E36" s="1" t="s">
        <v>84</v>
      </c>
      <c r="F36" s="1" t="s">
        <v>16</v>
      </c>
      <c r="G36" s="1" t="s">
        <v>16</v>
      </c>
      <c r="H36" s="1" t="s">
        <v>16</v>
      </c>
      <c r="I36" s="1" t="s">
        <v>16</v>
      </c>
    </row>
    <row r="37" spans="1:9" x14ac:dyDescent="0.3">
      <c r="A37" s="1" t="s">
        <v>96</v>
      </c>
      <c r="B37" s="1" t="s">
        <v>107</v>
      </c>
      <c r="C37" s="1" t="s">
        <v>108</v>
      </c>
      <c r="D37" s="1" t="s">
        <v>109</v>
      </c>
      <c r="E37" s="1" t="s">
        <v>84</v>
      </c>
      <c r="F37" s="1" t="s">
        <v>16</v>
      </c>
      <c r="G37" s="1" t="s">
        <v>110</v>
      </c>
      <c r="H37" s="1" t="s">
        <v>16</v>
      </c>
      <c r="I37" s="1" t="s">
        <v>16</v>
      </c>
    </row>
    <row r="38" spans="1:9" x14ac:dyDescent="0.3">
      <c r="A38" s="1" t="s">
        <v>96</v>
      </c>
      <c r="B38" s="1" t="s">
        <v>89</v>
      </c>
      <c r="C38" s="1" t="s">
        <v>111</v>
      </c>
      <c r="D38" s="1" t="s">
        <v>112</v>
      </c>
      <c r="E38" s="1" t="s">
        <v>84</v>
      </c>
      <c r="F38" s="1" t="s">
        <v>16</v>
      </c>
      <c r="G38" s="1" t="s">
        <v>113</v>
      </c>
      <c r="H38" s="1" t="s">
        <v>16</v>
      </c>
      <c r="I38" s="1" t="s">
        <v>16</v>
      </c>
    </row>
    <row r="39" spans="1:9" x14ac:dyDescent="0.3">
      <c r="A39" s="1" t="s">
        <v>96</v>
      </c>
      <c r="B39" s="1" t="s">
        <v>92</v>
      </c>
      <c r="C39" s="1" t="s">
        <v>114</v>
      </c>
      <c r="D39" s="1" t="s">
        <v>115</v>
      </c>
      <c r="E39" s="1" t="s">
        <v>84</v>
      </c>
      <c r="F39" s="1" t="s">
        <v>16</v>
      </c>
      <c r="G39" s="1" t="s">
        <v>94</v>
      </c>
      <c r="H39" s="1" t="s">
        <v>16</v>
      </c>
      <c r="I39" s="1" t="s">
        <v>16</v>
      </c>
    </row>
    <row r="40" spans="1:9" x14ac:dyDescent="0.3">
      <c r="A40" s="1" t="s">
        <v>16</v>
      </c>
      <c r="B40" s="1" t="s">
        <v>16</v>
      </c>
      <c r="C40" s="1" t="s">
        <v>16</v>
      </c>
      <c r="D40" s="1" t="s">
        <v>16</v>
      </c>
      <c r="E40" s="1" t="s">
        <v>16</v>
      </c>
      <c r="F40" s="1" t="s">
        <v>16</v>
      </c>
      <c r="G40" s="1" t="s">
        <v>16</v>
      </c>
      <c r="H40" s="1" t="s">
        <v>16</v>
      </c>
      <c r="I40" s="1" t="s">
        <v>16</v>
      </c>
    </row>
    <row r="41" spans="1:9" x14ac:dyDescent="0.3">
      <c r="A41" s="1" t="s">
        <v>16</v>
      </c>
      <c r="B41" s="1" t="s">
        <v>116</v>
      </c>
      <c r="C41" s="1" t="s">
        <v>16</v>
      </c>
      <c r="D41" s="1" t="s">
        <v>16</v>
      </c>
      <c r="E41" s="1" t="s">
        <v>16</v>
      </c>
      <c r="F41" s="1" t="s">
        <v>16</v>
      </c>
      <c r="G41" s="1" t="s">
        <v>16</v>
      </c>
      <c r="H41" s="1" t="s">
        <v>16</v>
      </c>
      <c r="I41" s="1" t="s">
        <v>16</v>
      </c>
    </row>
    <row r="42" spans="1:9" x14ac:dyDescent="0.3">
      <c r="A42" s="1" t="s">
        <v>117</v>
      </c>
      <c r="B42" s="1" t="s">
        <v>118</v>
      </c>
      <c r="C42" s="1" t="s">
        <v>119</v>
      </c>
      <c r="D42" s="1" t="s">
        <v>120</v>
      </c>
      <c r="E42" s="1" t="s">
        <v>121</v>
      </c>
      <c r="F42" s="1" t="s">
        <v>16</v>
      </c>
      <c r="G42" s="1" t="s">
        <v>122</v>
      </c>
      <c r="H42" s="1" t="s">
        <v>16</v>
      </c>
      <c r="I42" s="1" t="s">
        <v>16</v>
      </c>
    </row>
    <row r="43" spans="1:9" x14ac:dyDescent="0.3">
      <c r="A43" s="1" t="s">
        <v>117</v>
      </c>
      <c r="B43" s="1" t="s">
        <v>123</v>
      </c>
      <c r="C43" s="1" t="s">
        <v>124</v>
      </c>
      <c r="D43" s="1" t="s">
        <v>125</v>
      </c>
      <c r="E43" s="1" t="s">
        <v>126</v>
      </c>
      <c r="F43" s="1" t="s">
        <v>16</v>
      </c>
      <c r="G43" s="1" t="s">
        <v>127</v>
      </c>
      <c r="H43" s="1" t="s">
        <v>16</v>
      </c>
      <c r="I43" s="1" t="s">
        <v>16</v>
      </c>
    </row>
    <row r="44" spans="1:9" x14ac:dyDescent="0.3">
      <c r="A44" s="1" t="s">
        <v>117</v>
      </c>
      <c r="B44" s="1" t="s">
        <v>128</v>
      </c>
      <c r="C44" s="1" t="s">
        <v>129</v>
      </c>
      <c r="D44" s="1" t="s">
        <v>130</v>
      </c>
      <c r="E44" s="1" t="s">
        <v>126</v>
      </c>
      <c r="F44" s="1" t="s">
        <v>16</v>
      </c>
      <c r="G44" s="1" t="s">
        <v>16</v>
      </c>
      <c r="H44" s="1" t="s">
        <v>16</v>
      </c>
      <c r="I44" s="1" t="s">
        <v>16</v>
      </c>
    </row>
    <row r="45" spans="1:9" x14ac:dyDescent="0.3">
      <c r="A45" s="1" t="s">
        <v>117</v>
      </c>
      <c r="B45" s="1" t="s">
        <v>131</v>
      </c>
      <c r="C45" s="1" t="s">
        <v>132</v>
      </c>
      <c r="D45" s="1" t="s">
        <v>133</v>
      </c>
      <c r="E45" s="1" t="s">
        <v>126</v>
      </c>
      <c r="F45" s="1" t="s">
        <v>16</v>
      </c>
      <c r="G45" s="1" t="s">
        <v>134</v>
      </c>
      <c r="H45" s="1" t="s">
        <v>16</v>
      </c>
      <c r="I45" s="1" t="s">
        <v>16</v>
      </c>
    </row>
    <row r="46" spans="1:9" x14ac:dyDescent="0.3">
      <c r="A46" s="1" t="s">
        <v>117</v>
      </c>
      <c r="B46" s="1" t="s">
        <v>135</v>
      </c>
      <c r="C46" s="1" t="s">
        <v>136</v>
      </c>
      <c r="D46" s="1" t="s">
        <v>137</v>
      </c>
      <c r="E46" s="1" t="s">
        <v>121</v>
      </c>
      <c r="F46" s="1" t="s">
        <v>16</v>
      </c>
      <c r="G46" s="1" t="s">
        <v>138</v>
      </c>
      <c r="H46" s="1" t="s">
        <v>16</v>
      </c>
      <c r="I46" s="1" t="s">
        <v>16</v>
      </c>
    </row>
    <row r="47" spans="1:9" x14ac:dyDescent="0.3">
      <c r="A47" s="1" t="s">
        <v>117</v>
      </c>
      <c r="B47" s="1" t="s">
        <v>139</v>
      </c>
      <c r="C47" s="1" t="s">
        <v>140</v>
      </c>
      <c r="D47" s="1" t="s">
        <v>141</v>
      </c>
      <c r="E47" s="1" t="s">
        <v>126</v>
      </c>
      <c r="F47" s="1" t="s">
        <v>16</v>
      </c>
      <c r="G47" s="1" t="s">
        <v>142</v>
      </c>
      <c r="H47" s="1" t="s">
        <v>16</v>
      </c>
      <c r="I47" s="1" t="s">
        <v>16</v>
      </c>
    </row>
    <row r="48" spans="1:9" x14ac:dyDescent="0.3">
      <c r="A48" s="1" t="s">
        <v>117</v>
      </c>
      <c r="B48" s="1" t="s">
        <v>143</v>
      </c>
      <c r="C48" s="1" t="s">
        <v>144</v>
      </c>
      <c r="D48" s="1" t="s">
        <v>145</v>
      </c>
      <c r="E48" s="1" t="s">
        <v>126</v>
      </c>
      <c r="F48" s="1" t="s">
        <v>16</v>
      </c>
      <c r="G48" s="1" t="s">
        <v>16</v>
      </c>
      <c r="H48" s="1" t="s">
        <v>16</v>
      </c>
      <c r="I48" s="1" t="s">
        <v>16</v>
      </c>
    </row>
    <row r="49" spans="1:9" x14ac:dyDescent="0.3">
      <c r="A49" s="1" t="s">
        <v>117</v>
      </c>
      <c r="B49" s="1" t="s">
        <v>146</v>
      </c>
      <c r="C49" s="1" t="s">
        <v>147</v>
      </c>
      <c r="D49" s="1" t="s">
        <v>148</v>
      </c>
      <c r="E49" s="1" t="s">
        <v>126</v>
      </c>
      <c r="F49" s="1" t="s">
        <v>16</v>
      </c>
      <c r="G49" s="1" t="s">
        <v>134</v>
      </c>
      <c r="H49" s="1" t="s">
        <v>16</v>
      </c>
      <c r="I49" s="1" t="s">
        <v>16</v>
      </c>
    </row>
    <row r="50" spans="1:9" x14ac:dyDescent="0.3">
      <c r="A50" s="1" t="s">
        <v>16</v>
      </c>
      <c r="B50" s="1" t="s">
        <v>16</v>
      </c>
      <c r="C50" s="1" t="s">
        <v>16</v>
      </c>
      <c r="D50" s="1" t="s">
        <v>16</v>
      </c>
      <c r="E50" s="1" t="s">
        <v>16</v>
      </c>
      <c r="F50" s="1" t="s">
        <v>16</v>
      </c>
      <c r="G50" s="1" t="s">
        <v>16</v>
      </c>
      <c r="H50" s="1" t="s">
        <v>16</v>
      </c>
      <c r="I50" s="1" t="s">
        <v>16</v>
      </c>
    </row>
    <row r="51" spans="1:9" x14ac:dyDescent="0.3">
      <c r="A51" s="1" t="s">
        <v>16</v>
      </c>
      <c r="B51" s="1" t="s">
        <v>149</v>
      </c>
      <c r="C51" s="1" t="s">
        <v>16</v>
      </c>
      <c r="D51" s="1" t="s">
        <v>16</v>
      </c>
      <c r="E51" s="1" t="s">
        <v>16</v>
      </c>
      <c r="F51" s="1" t="s">
        <v>16</v>
      </c>
      <c r="G51" s="1" t="s">
        <v>16</v>
      </c>
      <c r="H51" s="1" t="s">
        <v>16</v>
      </c>
      <c r="I51" s="1" t="s">
        <v>16</v>
      </c>
    </row>
    <row r="52" spans="1:9" x14ac:dyDescent="0.3">
      <c r="A52" s="1" t="s">
        <v>150</v>
      </c>
      <c r="B52" s="1" t="s">
        <v>151</v>
      </c>
      <c r="C52" s="1" t="s">
        <v>152</v>
      </c>
      <c r="D52" s="1" t="s">
        <v>153</v>
      </c>
      <c r="E52" s="1" t="s">
        <v>154</v>
      </c>
      <c r="F52" s="1" t="s">
        <v>155</v>
      </c>
      <c r="G52" s="1" t="s">
        <v>156</v>
      </c>
      <c r="H52" s="1" t="s">
        <v>16</v>
      </c>
      <c r="I52" s="1" t="s">
        <v>16</v>
      </c>
    </row>
    <row r="53" spans="1:9" x14ac:dyDescent="0.3">
      <c r="A53" s="1" t="s">
        <v>150</v>
      </c>
      <c r="B53" s="1" t="s">
        <v>157</v>
      </c>
      <c r="C53" s="1" t="s">
        <v>158</v>
      </c>
      <c r="D53" s="1" t="s">
        <v>159</v>
      </c>
      <c r="E53" s="1" t="s">
        <v>160</v>
      </c>
      <c r="F53" s="1" t="s">
        <v>155</v>
      </c>
      <c r="G53" s="1" t="s">
        <v>161</v>
      </c>
      <c r="H53" s="1" t="s">
        <v>16</v>
      </c>
      <c r="I53" s="1" t="s">
        <v>16</v>
      </c>
    </row>
    <row r="54" spans="1:9" x14ac:dyDescent="0.3">
      <c r="A54" s="1" t="s">
        <v>150</v>
      </c>
      <c r="B54" s="1" t="s">
        <v>162</v>
      </c>
      <c r="C54" s="1" t="s">
        <v>163</v>
      </c>
      <c r="D54" s="1" t="s">
        <v>164</v>
      </c>
      <c r="E54" s="1" t="s">
        <v>165</v>
      </c>
      <c r="F54" s="1" t="s">
        <v>155</v>
      </c>
      <c r="G54" s="1" t="s">
        <v>166</v>
      </c>
      <c r="H54" s="1" t="s">
        <v>16</v>
      </c>
      <c r="I54" s="1" t="s">
        <v>16</v>
      </c>
    </row>
    <row r="55" spans="1:9" x14ac:dyDescent="0.3">
      <c r="A55" s="1" t="s">
        <v>150</v>
      </c>
      <c r="B55" s="1" t="s">
        <v>167</v>
      </c>
      <c r="C55" s="1" t="s">
        <v>168</v>
      </c>
      <c r="D55" s="1" t="s">
        <v>169</v>
      </c>
      <c r="E55" s="1" t="s">
        <v>170</v>
      </c>
      <c r="F55" s="1" t="s">
        <v>155</v>
      </c>
      <c r="G55" s="1" t="s">
        <v>171</v>
      </c>
      <c r="H55" s="1" t="s">
        <v>16</v>
      </c>
      <c r="I55" s="1" t="s">
        <v>16</v>
      </c>
    </row>
    <row r="56" spans="1:9" x14ac:dyDescent="0.3">
      <c r="A56" s="1" t="s">
        <v>150</v>
      </c>
      <c r="B56" s="1" t="s">
        <v>172</v>
      </c>
      <c r="C56" s="1" t="s">
        <v>173</v>
      </c>
      <c r="D56" s="1" t="s">
        <v>174</v>
      </c>
      <c r="E56" s="1" t="s">
        <v>175</v>
      </c>
      <c r="F56" s="1" t="s">
        <v>155</v>
      </c>
      <c r="G56" s="1" t="s">
        <v>176</v>
      </c>
      <c r="H56" s="1" t="s">
        <v>16</v>
      </c>
      <c r="I56" s="1" t="s">
        <v>16</v>
      </c>
    </row>
    <row r="57" spans="1:9" x14ac:dyDescent="0.3">
      <c r="A57" s="1" t="s">
        <v>16</v>
      </c>
      <c r="B57" s="1" t="s">
        <v>16</v>
      </c>
      <c r="C57" s="1" t="s">
        <v>16</v>
      </c>
      <c r="D57" s="1" t="s">
        <v>16</v>
      </c>
      <c r="E57" s="1" t="s">
        <v>16</v>
      </c>
      <c r="F57" s="1" t="s">
        <v>16</v>
      </c>
      <c r="G57" s="1" t="s">
        <v>16</v>
      </c>
      <c r="H57" s="1" t="s">
        <v>16</v>
      </c>
      <c r="I57" s="1" t="s">
        <v>16</v>
      </c>
    </row>
    <row r="58" spans="1:9" x14ac:dyDescent="0.3">
      <c r="A58" s="1" t="s">
        <v>16</v>
      </c>
      <c r="B58" s="1" t="s">
        <v>177</v>
      </c>
      <c r="C58" s="1" t="s">
        <v>16</v>
      </c>
      <c r="D58" s="1" t="s">
        <v>16</v>
      </c>
      <c r="E58" s="1" t="s">
        <v>16</v>
      </c>
      <c r="F58" s="1" t="s">
        <v>16</v>
      </c>
      <c r="G58" s="1" t="s">
        <v>16</v>
      </c>
      <c r="H58" s="1" t="s">
        <v>16</v>
      </c>
      <c r="I58" s="1" t="s">
        <v>16</v>
      </c>
    </row>
    <row r="59" spans="1:9" x14ac:dyDescent="0.3">
      <c r="A59" s="1" t="s">
        <v>178</v>
      </c>
      <c r="B59" s="1" t="s">
        <v>179</v>
      </c>
      <c r="C59" s="1" t="s">
        <v>45</v>
      </c>
      <c r="D59" s="1" t="s">
        <v>154</v>
      </c>
      <c r="E59" s="1" t="s">
        <v>180</v>
      </c>
      <c r="F59" s="1" t="s">
        <v>181</v>
      </c>
      <c r="G59" s="1" t="s">
        <v>182</v>
      </c>
      <c r="H59" s="1" t="s">
        <v>16</v>
      </c>
      <c r="I59" s="1" t="s">
        <v>16</v>
      </c>
    </row>
    <row r="60" spans="1:9" x14ac:dyDescent="0.3">
      <c r="A60" s="1" t="s">
        <v>178</v>
      </c>
      <c r="B60" s="1" t="s">
        <v>183</v>
      </c>
      <c r="C60" s="1" t="s">
        <v>45</v>
      </c>
      <c r="D60" s="1" t="s">
        <v>160</v>
      </c>
      <c r="E60" s="1" t="s">
        <v>184</v>
      </c>
      <c r="F60" s="1" t="s">
        <v>185</v>
      </c>
      <c r="G60" s="1" t="s">
        <v>186</v>
      </c>
      <c r="H60" s="1" t="s">
        <v>16</v>
      </c>
      <c r="I60" s="1" t="s">
        <v>16</v>
      </c>
    </row>
    <row r="61" spans="1:9" x14ac:dyDescent="0.3">
      <c r="A61" s="1" t="s">
        <v>178</v>
      </c>
      <c r="B61" s="1" t="s">
        <v>187</v>
      </c>
      <c r="C61" s="1" t="s">
        <v>188</v>
      </c>
      <c r="D61" s="1" t="s">
        <v>170</v>
      </c>
      <c r="E61" s="1" t="s">
        <v>189</v>
      </c>
      <c r="F61" s="1" t="s">
        <v>190</v>
      </c>
      <c r="G61" s="1" t="s">
        <v>191</v>
      </c>
      <c r="H61" s="1" t="s">
        <v>16</v>
      </c>
      <c r="I61" s="1" t="s">
        <v>16</v>
      </c>
    </row>
    <row r="62" spans="1:9" x14ac:dyDescent="0.3">
      <c r="A62" s="1" t="s">
        <v>178</v>
      </c>
      <c r="B62" s="1" t="s">
        <v>192</v>
      </c>
      <c r="C62" s="1" t="s">
        <v>193</v>
      </c>
      <c r="D62" s="1" t="s">
        <v>154</v>
      </c>
      <c r="E62" s="1" t="s">
        <v>180</v>
      </c>
      <c r="F62" s="1" t="s">
        <v>194</v>
      </c>
      <c r="G62" s="1" t="s">
        <v>195</v>
      </c>
      <c r="H62" s="1" t="s">
        <v>16</v>
      </c>
      <c r="I62" s="1" t="s">
        <v>16</v>
      </c>
    </row>
    <row r="63" spans="1:9" x14ac:dyDescent="0.3">
      <c r="A63" s="1" t="s">
        <v>16</v>
      </c>
      <c r="B63" s="1" t="s">
        <v>16</v>
      </c>
      <c r="C63" s="1" t="s">
        <v>16</v>
      </c>
      <c r="D63" s="1" t="s">
        <v>16</v>
      </c>
      <c r="E63" s="1" t="s">
        <v>16</v>
      </c>
      <c r="F63" s="1" t="s">
        <v>16</v>
      </c>
      <c r="G63" s="1" t="s">
        <v>16</v>
      </c>
      <c r="H63" s="1" t="s">
        <v>16</v>
      </c>
      <c r="I63" s="1" t="s">
        <v>16</v>
      </c>
    </row>
    <row r="64" spans="1:9" x14ac:dyDescent="0.3">
      <c r="A64" s="1" t="s">
        <v>16</v>
      </c>
      <c r="B64" s="1" t="s">
        <v>196</v>
      </c>
      <c r="C64" s="1" t="s">
        <v>16</v>
      </c>
      <c r="D64" s="1" t="s">
        <v>16</v>
      </c>
      <c r="E64" s="1" t="s">
        <v>16</v>
      </c>
      <c r="F64" s="1" t="s">
        <v>16</v>
      </c>
      <c r="G64" s="1" t="s">
        <v>16</v>
      </c>
      <c r="H64" s="1" t="s">
        <v>16</v>
      </c>
      <c r="I64" s="1" t="s">
        <v>16</v>
      </c>
    </row>
    <row r="65" spans="1:9" x14ac:dyDescent="0.3">
      <c r="A65" s="1" t="s">
        <v>197</v>
      </c>
      <c r="B65" s="1" t="s">
        <v>198</v>
      </c>
      <c r="C65" s="1" t="s">
        <v>35</v>
      </c>
      <c r="D65" s="1" t="s">
        <v>199</v>
      </c>
      <c r="E65" s="1" t="s">
        <v>200</v>
      </c>
      <c r="F65" s="1" t="s">
        <v>201</v>
      </c>
      <c r="G65" s="1" t="s">
        <v>202</v>
      </c>
      <c r="H65" s="1" t="s">
        <v>16</v>
      </c>
      <c r="I65" s="1" t="s">
        <v>16</v>
      </c>
    </row>
    <row r="66" spans="1:9" x14ac:dyDescent="0.3">
      <c r="A66" s="1" t="s">
        <v>197</v>
      </c>
      <c r="B66" s="1" t="s">
        <v>203</v>
      </c>
      <c r="C66" s="1" t="s">
        <v>50</v>
      </c>
      <c r="D66" s="1" t="s">
        <v>204</v>
      </c>
      <c r="E66" s="1" t="s">
        <v>205</v>
      </c>
      <c r="F66" s="1" t="s">
        <v>206</v>
      </c>
      <c r="G66" s="1" t="s">
        <v>207</v>
      </c>
      <c r="H66" s="1" t="s">
        <v>16</v>
      </c>
      <c r="I66" s="1" t="s">
        <v>16</v>
      </c>
    </row>
    <row r="67" spans="1:9" x14ac:dyDescent="0.3">
      <c r="A67" s="1" t="s">
        <v>197</v>
      </c>
      <c r="B67" s="1" t="s">
        <v>208</v>
      </c>
      <c r="C67" s="1" t="s">
        <v>45</v>
      </c>
      <c r="D67" s="1" t="s">
        <v>209</v>
      </c>
      <c r="E67" s="1" t="s">
        <v>210</v>
      </c>
      <c r="F67" s="1" t="s">
        <v>211</v>
      </c>
      <c r="G67" s="1" t="s">
        <v>212</v>
      </c>
      <c r="H67" s="1" t="s">
        <v>16</v>
      </c>
      <c r="I67" s="1" t="s">
        <v>16</v>
      </c>
    </row>
    <row r="68" spans="1:9" x14ac:dyDescent="0.3">
      <c r="A68" s="1" t="s">
        <v>197</v>
      </c>
      <c r="B68" s="1" t="s">
        <v>213</v>
      </c>
      <c r="C68" s="1" t="s">
        <v>65</v>
      </c>
      <c r="D68" s="1" t="s">
        <v>214</v>
      </c>
      <c r="E68" s="1" t="s">
        <v>215</v>
      </c>
      <c r="F68" s="1" t="s">
        <v>216</v>
      </c>
      <c r="G68" s="1" t="s">
        <v>217</v>
      </c>
      <c r="H68" s="1" t="s">
        <v>16</v>
      </c>
      <c r="I68" s="1" t="s">
        <v>16</v>
      </c>
    </row>
    <row r="69" spans="1:9" x14ac:dyDescent="0.3">
      <c r="A69" s="1" t="s">
        <v>197</v>
      </c>
      <c r="B69" s="1" t="s">
        <v>218</v>
      </c>
      <c r="C69" s="1" t="s">
        <v>21</v>
      </c>
      <c r="D69" s="1" t="s">
        <v>219</v>
      </c>
      <c r="E69" s="1" t="s">
        <v>210</v>
      </c>
      <c r="F69" s="1" t="s">
        <v>211</v>
      </c>
      <c r="G69" s="1" t="s">
        <v>220</v>
      </c>
      <c r="H69" s="1" t="s">
        <v>16</v>
      </c>
      <c r="I69" s="1" t="s">
        <v>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6A2A4C-543D-42DC-A4BB-059781B3BA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flash_lifespan_calc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Stone Stone</cp:lastModifiedBy>
  <dcterms:created xsi:type="dcterms:W3CDTF">2015-06-05T18:19:34Z</dcterms:created>
  <dcterms:modified xsi:type="dcterms:W3CDTF">2026-05-24T15:45:47Z</dcterms:modified>
</cp:coreProperties>
</file>